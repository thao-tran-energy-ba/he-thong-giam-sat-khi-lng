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5FE4492-30EA-4A0C-9149-EE6A23D82044}" xr6:coauthVersionLast="47" xr6:coauthVersionMax="47" xr10:uidLastSave="{00000000-0000-0000-0000-000000000000}"/>
  <bookViews>
    <workbookView xWindow="-108" yWindow="-108" windowWidth="23256" windowHeight="12576" xr2:uid="{CC1AFC35-485F-4B2C-AF3D-ABD32380F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J3" i="1"/>
  <c r="J4" i="1"/>
  <c r="J5" i="1"/>
  <c r="J6" i="1"/>
  <c r="J7" i="1"/>
  <c r="J8" i="1"/>
  <c r="H3" i="1"/>
  <c r="H4" i="1"/>
  <c r="H5" i="1"/>
  <c r="H6" i="1"/>
  <c r="H7" i="1"/>
  <c r="H8" i="1"/>
  <c r="J2" i="1"/>
  <c r="K2" i="1" s="1"/>
  <c r="H2" i="1"/>
</calcChain>
</file>

<file path=xl/sharedStrings.xml><?xml version="1.0" encoding="utf-8"?>
<sst xmlns="http://schemas.openxmlformats.org/spreadsheetml/2006/main" count="21" uniqueCount="11">
  <si>
    <t>Timestamp</t>
  </si>
  <si>
    <t>P_bar</t>
  </si>
  <si>
    <t>T_C</t>
  </si>
  <si>
    <t>Flow_m3h</t>
  </si>
  <si>
    <t>E_Actual_MMBtu</t>
  </si>
  <si>
    <t>E_Contract_MMBtu</t>
  </si>
  <si>
    <t>Partner_Code</t>
  </si>
  <si>
    <t>PVGAS-2026-01</t>
  </si>
  <si>
    <t>EVN-2026-02</t>
  </si>
  <si>
    <t>XLOOKUP(G2,Contract_Ref!$A$2:$A$3,Contract_Ref!$C$2:$C$3,0)</t>
  </si>
  <si>
    <t>XLOOKUP(G2;Contract_Ref!$A$2:$A$3;Contract_Ref!$C$2:$C$3;0)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</si>
</sst>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9B1B5-004F-4AA3-A44C-FCFB906CB807}">
  <dimension ref="A1:K8"/>
  <sheetViews>
    <sheetView tabSelected="1" zoomScaleNormal="100" workbookViewId="0">
      <selection activeCell="I1" sqref="I1"/>
    </sheetView>
  </sheetViews>
  <sheetFormatPr defaultRowHeight="13.8" x14ac:dyDescent="0.25"/>
  <cols>
    <col min="1" max="1" width="13.21875" bestFit="1" customWidth="1"/>
    <col min="4" max="4" width="10.33203125" customWidth="1"/>
    <col min="5" max="5" width="17" customWidth="1"/>
    <col min="6" max="6" width="17.44140625" customWidth="1"/>
    <col min="7" max="7" width="17.6640625" customWidth="1"/>
    <col min="11" max="11" width="9.21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25">
      <c r="A2" s="1">
        <v>46235.333333333336</v>
      </c>
      <c r="B2">
        <v>38.5</v>
      </c>
      <c r="C2">
        <v>-158</v>
      </c>
      <c r="D2">
        <v>400000</v>
      </c>
      <c r="E2">
        <v>1000000</v>
      </c>
      <c r="F2">
        <v>1000000</v>
      </c>
      <c r="G2" t="s">
        <v>7</v>
      </c>
      <c r="H2" s="2">
        <f>ABS(E2-F2)/F2</f>
        <v>0</v>
      </c>
      <c r="I2" s="3" t="s">
        <v>9</v>
      </c>
      <c r="J2" t="str">
        <f>IF(AND(H2&gt;0.005, B2&gt;40), "ALERT: VI PHAM THUONG MAI", "NORMAL")</f>
        <v>NORMAL</v>
      </c>
      <c r="K2">
        <f>IF(J2="ALERT: VI PHAM THUONG MAI", (ABS(E2-F2)-(F2*0.005))*I2, 0)</f>
        <v>0</v>
      </c>
    </row>
    <row r="3" spans="1:11" x14ac:dyDescent="0.25">
      <c r="A3" s="1">
        <v>46235.583333333336</v>
      </c>
      <c r="B3">
        <v>39</v>
      </c>
      <c r="C3">
        <v>-158.19999999999999</v>
      </c>
      <c r="D3">
        <v>400000</v>
      </c>
      <c r="E3">
        <v>1020000</v>
      </c>
      <c r="F3">
        <v>1020000</v>
      </c>
      <c r="G3" t="s">
        <v>7</v>
      </c>
      <c r="H3" s="2">
        <f t="shared" ref="H3:H8" si="0">ABS(E3-F3)/F3</f>
        <v>0</v>
      </c>
      <c r="I3" s="3" t="s">
        <v>10</v>
      </c>
      <c r="J3" t="str">
        <f t="shared" ref="J3:J8" si="1">IF(AND(H3&gt;0.005, B3&gt;40), "ALERT: VI PHAM THUONG MAI", "NORMAL")</f>
        <v>NORMAL</v>
      </c>
      <c r="K3">
        <f t="shared" ref="K3:K8" si="2">IF(J3="ALERT: VI PHAM THUONG MAI", (ABS(E3-F3)-(F3*0.005))*I3, 0)</f>
        <v>0</v>
      </c>
    </row>
    <row r="4" spans="1:11" x14ac:dyDescent="0.25">
      <c r="A4" s="1">
        <v>46237.333333333336</v>
      </c>
      <c r="B4">
        <v>38</v>
      </c>
      <c r="C4">
        <v>-157.9</v>
      </c>
      <c r="D4">
        <v>390000</v>
      </c>
      <c r="E4">
        <v>975000</v>
      </c>
      <c r="F4">
        <v>970000</v>
      </c>
      <c r="G4" t="s">
        <v>7</v>
      </c>
      <c r="H4" s="2">
        <f t="shared" si="0"/>
        <v>5.1546391752577319E-3</v>
      </c>
      <c r="I4" s="3" t="s">
        <v>9</v>
      </c>
      <c r="J4" t="str">
        <f t="shared" si="1"/>
        <v>NORMAL</v>
      </c>
      <c r="K4">
        <f t="shared" si="2"/>
        <v>0</v>
      </c>
    </row>
    <row r="5" spans="1:11" x14ac:dyDescent="0.25">
      <c r="A5" s="1">
        <v>46237.583333333336</v>
      </c>
      <c r="B5">
        <v>42.5</v>
      </c>
      <c r="C5">
        <v>-158.5</v>
      </c>
      <c r="D5">
        <v>400000</v>
      </c>
      <c r="E5">
        <v>1200000</v>
      </c>
      <c r="F5">
        <v>1134000</v>
      </c>
      <c r="G5" t="s">
        <v>7</v>
      </c>
      <c r="H5" s="2">
        <f t="shared" si="0"/>
        <v>5.8201058201058198E-2</v>
      </c>
      <c r="I5" s="3" t="s">
        <v>9</v>
      </c>
      <c r="J5" t="str">
        <f t="shared" si="1"/>
        <v>ALERT: VI PHAM THUONG MAI</v>
      </c>
      <c r="K5" t="e">
        <f t="shared" si="2"/>
        <v>#VALUE!</v>
      </c>
    </row>
    <row r="6" spans="1:11" x14ac:dyDescent="0.25">
      <c r="A6" s="1">
        <v>46239.333333333336</v>
      </c>
      <c r="B6">
        <v>38.200000000000003</v>
      </c>
      <c r="C6">
        <v>-158.1</v>
      </c>
      <c r="D6">
        <v>400000</v>
      </c>
      <c r="E6">
        <v>1000000</v>
      </c>
      <c r="F6">
        <v>1000000</v>
      </c>
      <c r="G6" t="s">
        <v>8</v>
      </c>
      <c r="H6" s="2">
        <f t="shared" si="0"/>
        <v>0</v>
      </c>
      <c r="I6" s="3" t="s">
        <v>9</v>
      </c>
      <c r="J6" t="str">
        <f t="shared" si="1"/>
        <v>NORMAL</v>
      </c>
      <c r="K6">
        <f t="shared" si="2"/>
        <v>0</v>
      </c>
    </row>
    <row r="7" spans="1:11" x14ac:dyDescent="0.25">
      <c r="A7" s="1">
        <v>46239.583333333336</v>
      </c>
      <c r="B7">
        <v>41.8</v>
      </c>
      <c r="C7">
        <v>-158.4</v>
      </c>
      <c r="D7">
        <v>400000</v>
      </c>
      <c r="E7">
        <v>1150000</v>
      </c>
      <c r="F7">
        <v>1103667</v>
      </c>
      <c r="G7" t="s">
        <v>8</v>
      </c>
      <c r="H7" s="2">
        <f t="shared" si="0"/>
        <v>4.1980959836617385E-2</v>
      </c>
      <c r="I7" s="3" t="s">
        <v>9</v>
      </c>
      <c r="J7" t="str">
        <f t="shared" si="1"/>
        <v>ALERT: VI PHAM THUONG MAI</v>
      </c>
      <c r="K7" t="e">
        <f t="shared" si="2"/>
        <v>#VALUE!</v>
      </c>
    </row>
    <row r="8" spans="1:11" x14ac:dyDescent="0.25">
      <c r="A8" s="1">
        <v>46241.583333333336</v>
      </c>
      <c r="B8">
        <v>39.5</v>
      </c>
      <c r="C8">
        <v>-158</v>
      </c>
      <c r="D8">
        <v>400000</v>
      </c>
      <c r="E8">
        <v>1050000</v>
      </c>
      <c r="F8">
        <v>1048000</v>
      </c>
      <c r="G8" t="s">
        <v>8</v>
      </c>
      <c r="H8" s="2">
        <f t="shared" si="0"/>
        <v>1.9083969465648854E-3</v>
      </c>
      <c r="I8" s="3" t="s">
        <v>9</v>
      </c>
      <c r="J8" t="str">
        <f t="shared" si="1"/>
        <v>NORMAL</v>
      </c>
      <c r="K8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tranthithao07012006@gmail.com</dc:creator>
  <cp:lastModifiedBy>tranthithao07012006@gmail.com</cp:lastModifiedBy>
  <dcterms:created xsi:type="dcterms:W3CDTF">2026-09-14T14:54:42Z</dcterms:created>
  <dcterms:modified xsi:type="dcterms:W3CDTF">2026-09-14T15:21:19Z</dcterms:modified>
</cp:coreProperties>
</file>